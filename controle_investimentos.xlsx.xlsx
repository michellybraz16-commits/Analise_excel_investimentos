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DUNA SYSTEM\MICHELLY\Curso de Excel\"/>
    </mc:Choice>
  </mc:AlternateContent>
  <xr:revisionPtr revIDLastSave="0" documentId="13_ncr:1_{E1925C81-F846-4C69-B613-D3DEE3BA3C12}" xr6:coauthVersionLast="43" xr6:coauthVersionMax="43" xr10:uidLastSave="{00000000-0000-0000-0000-000000000000}"/>
  <bookViews>
    <workbookView xWindow="-108" yWindow="-108" windowWidth="23256" windowHeight="12456" tabRatio="228" xr2:uid="{E732FF62-0F7F-4020-ACFC-513C77D07EF7}"/>
  </bookViews>
  <sheets>
    <sheet name="APP" sheetId="1" r:id="rId1"/>
    <sheet name="Planilha2" sheetId="2" r:id="rId2"/>
  </sheets>
  <definedNames>
    <definedName name="Aporte">APP!$D$17</definedName>
    <definedName name="dividendo_mensais">APP!$D$21</definedName>
    <definedName name="patrimonio_acumulad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H5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 l="1"/>
  <c r="D36" i="1" s="1"/>
  <c r="D40" i="1" l="1"/>
  <c r="D39" i="1"/>
  <c r="D35" i="1"/>
  <c r="D38" i="1"/>
  <c r="D37" i="1"/>
  <c r="D20" i="1"/>
  <c r="D41" i="1" l="1"/>
  <c r="D21" i="1"/>
  <c r="D14" i="1"/>
  <c r="C25" i="1"/>
  <c r="D25" i="1" s="1"/>
  <c r="C26" i="1"/>
  <c r="D26" i="1" s="1"/>
  <c r="C27" i="1"/>
  <c r="D27" i="1" s="1"/>
  <c r="C28" i="1"/>
  <c r="D28" i="1" s="1"/>
  <c r="C24" i="1"/>
  <c r="D24" i="1" s="1"/>
</calcChain>
</file>

<file path=xl/sharedStrings.xml><?xml version="1.0" encoding="utf-8"?>
<sst xmlns="http://schemas.openxmlformats.org/spreadsheetml/2006/main" count="71" uniqueCount="36">
  <si>
    <t xml:space="preserve">INVESTIMENTO MENSAL </t>
  </si>
  <si>
    <t xml:space="preserve">Quanto investir por mês </t>
  </si>
  <si>
    <t>Por quantos anos?</t>
  </si>
  <si>
    <t>Taxa de rendimento mensal?</t>
  </si>
  <si>
    <t>Patrimonio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</si>
  <si>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</si>
  <si>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</si>
  <si>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</si>
  <si>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</si>
  <si>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</si>
  <si>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</si>
  <si>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 xml:space="preserve">Cenários </t>
  </si>
  <si>
    <t xml:space="preserve">Dividendo </t>
  </si>
  <si>
    <t xml:space="preserve">Conigurações </t>
  </si>
  <si>
    <t>Salário</t>
  </si>
  <si>
    <t>Rendimento Cartéira</t>
  </si>
  <si>
    <t>Perfil</t>
  </si>
  <si>
    <t>AGRESSIVO</t>
  </si>
  <si>
    <t>CONSERVADOR</t>
  </si>
  <si>
    <t>MODERADO</t>
  </si>
  <si>
    <t>Valor a ser investido por mês</t>
  </si>
  <si>
    <t>PERFIL</t>
  </si>
  <si>
    <t>Tipo de FII</t>
  </si>
  <si>
    <t>Percentual Sugerido</t>
  </si>
  <si>
    <t xml:space="preserve">Valores </t>
  </si>
  <si>
    <t>Papel</t>
  </si>
  <si>
    <t>Tijolo</t>
  </si>
  <si>
    <t>Hibridos</t>
  </si>
  <si>
    <t>FOF</t>
  </si>
  <si>
    <t xml:space="preserve">Desinvolvimento </t>
  </si>
  <si>
    <t xml:space="preserve">Hotelarias </t>
  </si>
  <si>
    <t>TIPO DE FIIS</t>
  </si>
  <si>
    <t>%</t>
  </si>
  <si>
    <t xml:space="preserve">Chave Composta 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</si>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</sst>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egoe "/>
    </font>
    <font>
      <sz val="12"/>
      <color theme="1"/>
      <name val="Segoe "/>
    </font>
    <font>
      <b/>
      <sz val="12"/>
      <color theme="1"/>
      <name val="Segoe "/>
    </font>
    <font>
      <b/>
      <sz val="12"/>
      <name val="Segoe 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2499465926084170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/>
      </bottom>
      <diagonal/>
    </border>
    <border>
      <left style="medium">
        <color indexed="64"/>
      </left>
      <right/>
      <top style="thin">
        <color theme="2" tint="-0.249977111117893"/>
      </top>
      <bottom style="thin">
        <color theme="0"/>
      </bottom>
      <diagonal/>
    </border>
    <border>
      <left/>
      <right style="thin">
        <color theme="0"/>
      </right>
      <top style="thin">
        <color theme="2" tint="-0.249977111117893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/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2" fillId="2" borderId="2" xfId="0" applyFont="1" applyFill="1" applyBorder="1" applyAlignment="1"/>
    <xf numFmtId="0" fontId="7" fillId="0" borderId="0" xfId="0" applyFont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Border="1"/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9" fillId="0" borderId="0" xfId="0" applyFont="1"/>
    <xf numFmtId="0" fontId="10" fillId="3" borderId="8" xfId="0" applyFont="1" applyFill="1" applyBorder="1" applyAlignment="1">
      <alignment horizontal="left" indent="2"/>
    </xf>
    <xf numFmtId="0" fontId="10" fillId="3" borderId="10" xfId="0" applyFont="1" applyFill="1" applyBorder="1" applyAlignment="1">
      <alignment horizontal="left" indent="2"/>
    </xf>
    <xf numFmtId="0" fontId="10" fillId="3" borderId="12" xfId="0" applyFont="1" applyFill="1" applyBorder="1" applyAlignment="1">
      <alignment horizontal="left" indent="2"/>
    </xf>
    <xf numFmtId="0" fontId="11" fillId="0" borderId="15" xfId="0" applyFont="1" applyBorder="1" applyAlignment="1">
      <alignment horizontal="left" indent="2"/>
    </xf>
    <xf numFmtId="0" fontId="11" fillId="0" borderId="16" xfId="0" applyFont="1" applyBorder="1" applyAlignment="1">
      <alignment horizontal="left" indent="2"/>
    </xf>
    <xf numFmtId="0" fontId="11" fillId="0" borderId="19" xfId="0" applyFont="1" applyBorder="1" applyAlignment="1">
      <alignment horizontal="left" indent="2"/>
    </xf>
    <xf numFmtId="0" fontId="11" fillId="0" borderId="20" xfId="0" applyFont="1" applyBorder="1" applyAlignment="1">
      <alignment horizontal="left" indent="2"/>
    </xf>
    <xf numFmtId="0" fontId="11" fillId="0" borderId="18" xfId="0" applyFont="1" applyBorder="1" applyAlignment="1">
      <alignment horizontal="left" indent="2"/>
    </xf>
    <xf numFmtId="0" fontId="10" fillId="3" borderId="10" xfId="0" applyFont="1" applyFill="1" applyBorder="1" applyAlignment="1">
      <alignment horizontal="left" indent="2"/>
    </xf>
    <xf numFmtId="0" fontId="10" fillId="3" borderId="22" xfId="0" applyFont="1" applyFill="1" applyBorder="1" applyAlignment="1">
      <alignment horizontal="left" indent="2"/>
    </xf>
    <xf numFmtId="0" fontId="10" fillId="3" borderId="12" xfId="0" applyFont="1" applyFill="1" applyBorder="1" applyAlignment="1">
      <alignment horizontal="left" indent="2"/>
    </xf>
    <xf numFmtId="0" fontId="10" fillId="3" borderId="23" xfId="0" applyFont="1" applyFill="1" applyBorder="1" applyAlignment="1">
      <alignment horizontal="left" indent="2"/>
    </xf>
    <xf numFmtId="164" fontId="13" fillId="0" borderId="3" xfId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10" fontId="13" fillId="0" borderId="17" xfId="0" applyNumberFormat="1" applyFont="1" applyBorder="1" applyAlignment="1">
      <alignment horizontal="center"/>
    </xf>
    <xf numFmtId="8" fontId="10" fillId="3" borderId="6" xfId="0" applyNumberFormat="1" applyFont="1" applyFill="1" applyBorder="1"/>
    <xf numFmtId="8" fontId="13" fillId="3" borderId="9" xfId="0" applyNumberFormat="1" applyFont="1" applyFill="1" applyBorder="1"/>
    <xf numFmtId="8" fontId="10" fillId="3" borderId="7" xfId="0" applyNumberFormat="1" applyFont="1" applyFill="1" applyBorder="1"/>
    <xf numFmtId="8" fontId="13" fillId="3" borderId="11" xfId="0" applyNumberFormat="1" applyFont="1" applyFill="1" applyBorder="1"/>
    <xf numFmtId="8" fontId="10" fillId="3" borderId="13" xfId="0" applyNumberFormat="1" applyFont="1" applyFill="1" applyBorder="1"/>
    <xf numFmtId="8" fontId="13" fillId="3" borderId="14" xfId="0" applyNumberFormat="1" applyFont="1" applyFill="1" applyBorder="1"/>
    <xf numFmtId="0" fontId="6" fillId="5" borderId="0" xfId="2"/>
    <xf numFmtId="0" fontId="7" fillId="6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9" fontId="0" fillId="0" borderId="2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7" fillId="6" borderId="0" xfId="0" applyFont="1" applyFill="1"/>
    <xf numFmtId="164" fontId="13" fillId="3" borderId="26" xfId="0" applyNumberFormat="1" applyFont="1" applyFill="1" applyBorder="1" applyAlignment="1">
      <alignment horizontal="left"/>
    </xf>
    <xf numFmtId="10" fontId="13" fillId="0" borderId="27" xfId="0" applyNumberFormat="1" applyFont="1" applyBorder="1" applyAlignment="1">
      <alignment horizontal="left"/>
    </xf>
    <xf numFmtId="164" fontId="13" fillId="0" borderId="27" xfId="0" applyNumberFormat="1" applyFont="1" applyBorder="1" applyAlignment="1">
      <alignment horizontal="left"/>
    </xf>
    <xf numFmtId="0" fontId="12" fillId="3" borderId="28" xfId="0" applyFont="1" applyFill="1" applyBorder="1" applyAlignment="1">
      <alignment horizontal="left" indent="2"/>
    </xf>
    <xf numFmtId="0" fontId="12" fillId="3" borderId="30" xfId="0" applyFont="1" applyFill="1" applyBorder="1" applyAlignment="1">
      <alignment horizontal="left" indent="2"/>
    </xf>
    <xf numFmtId="8" fontId="14" fillId="3" borderId="29" xfId="0" applyNumberFormat="1" applyFont="1" applyFill="1" applyBorder="1" applyAlignment="1">
      <alignment horizontal="center"/>
    </xf>
    <xf numFmtId="8" fontId="14" fillId="3" borderId="31" xfId="0" applyNumberFormat="1" applyFont="1" applyFill="1" applyBorder="1" applyAlignment="1">
      <alignment horizontal="center"/>
    </xf>
    <xf numFmtId="0" fontId="12" fillId="3" borderId="32" xfId="0" applyFont="1" applyFill="1" applyBorder="1" applyAlignment="1">
      <alignment horizontal="left" indent="2"/>
    </xf>
    <xf numFmtId="0" fontId="12" fillId="3" borderId="33" xfId="0" applyFont="1" applyFill="1" applyBorder="1" applyAlignment="1">
      <alignment horizontal="left" indent="2"/>
    </xf>
    <xf numFmtId="9" fontId="0" fillId="0" borderId="34" xfId="0" applyNumberFormat="1" applyBorder="1"/>
    <xf numFmtId="9" fontId="0" fillId="0" borderId="35" xfId="0" applyNumberFormat="1" applyBorder="1"/>
    <xf numFmtId="9" fontId="0" fillId="0" borderId="36" xfId="0" applyNumberFormat="1" applyBorder="1"/>
    <xf numFmtId="0" fontId="15" fillId="5" borderId="37" xfId="2" applyFont="1" applyBorder="1"/>
    <xf numFmtId="0" fontId="15" fillId="5" borderId="5" xfId="2" applyFont="1" applyBorder="1" applyAlignment="1">
      <alignment horizontal="right"/>
    </xf>
    <xf numFmtId="0" fontId="15" fillId="5" borderId="2" xfId="2" applyFont="1" applyBorder="1"/>
    <xf numFmtId="0" fontId="7" fillId="3" borderId="38" xfId="0" applyFont="1" applyFill="1" applyBorder="1"/>
    <xf numFmtId="164" fontId="7" fillId="3" borderId="24" xfId="1" applyNumberFormat="1" applyFont="1" applyFill="1" applyBorder="1"/>
    <xf numFmtId="0" fontId="7" fillId="3" borderId="39" xfId="0" applyFont="1" applyFill="1" applyBorder="1"/>
    <xf numFmtId="0" fontId="7" fillId="6" borderId="40" xfId="0" applyFont="1" applyFill="1" applyBorder="1" applyAlignment="1">
      <alignment horizontal="center"/>
    </xf>
    <xf numFmtId="0" fontId="7" fillId="6" borderId="41" xfId="0" applyFont="1" applyFill="1" applyBorder="1" applyAlignment="1">
      <alignment horizontal="center"/>
    </xf>
    <xf numFmtId="0" fontId="7" fillId="6" borderId="42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164" fontId="0" fillId="3" borderId="44" xfId="0" applyNumberFormat="1" applyFill="1" applyBorder="1"/>
    <xf numFmtId="0" fontId="0" fillId="0" borderId="15" xfId="0" applyBorder="1" applyAlignment="1">
      <alignment horizontal="center"/>
    </xf>
    <xf numFmtId="0" fontId="0" fillId="0" borderId="45" xfId="0" applyBorder="1" applyAlignment="1">
      <alignment horizontal="center"/>
    </xf>
    <xf numFmtId="164" fontId="0" fillId="3" borderId="46" xfId="0" applyNumberFormat="1" applyFill="1" applyBorder="1"/>
    <xf numFmtId="0" fontId="0" fillId="0" borderId="47" xfId="0" applyBorder="1" applyAlignment="1">
      <alignment horizontal="center"/>
    </xf>
    <xf numFmtId="0" fontId="0" fillId="6" borderId="21" xfId="0" applyFill="1" applyBorder="1"/>
    <xf numFmtId="0" fontId="0" fillId="6" borderId="25" xfId="0" applyFill="1" applyBorder="1"/>
    <xf numFmtId="164" fontId="0" fillId="6" borderId="48" xfId="0" applyNumberFormat="1" applyFill="1" applyBorder="1"/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5CB-469F-B995-EEC6D3AB38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CB-469F-B995-EEC6D3AB38A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5CB-469F-B995-EEC6D3AB38A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CB-469F-B995-EEC6D3AB38A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D5CB-469F-B995-EEC6D3AB38A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CB-469F-B995-EEC6D3AB3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1E12404-6057-4FAE-B89F-E2A51E473DF7}" type="PERCENTAGE">
                      <a:rPr lang="en-US" baseline="0"/>
                      <a:pPr/>
                      <a:t>[PORCENTAGEM]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5CB-469F-B995-EEC6D3AB3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D42A05-6BEC-493E-B7FA-EECADFBB4B38}" type="PERCENTAGE">
                      <a:rPr lang="en-US" baseline="0"/>
                      <a:pPr/>
                      <a:t>[PORCENTAGEM]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5CB-469F-B995-EEC6D3AB3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CD1CEE-939C-45B1-B737-750E2B169305}" type="PERCENTAGE">
                      <a:rPr lang="en-US" baseline="0"/>
                      <a:pPr/>
                      <a:t>[PORCENTAGEM]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5CB-469F-B995-EEC6D3AB3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160C4B-07F9-47DB-AFEF-6EE4A1CE4496}" type="PERCENTAGE">
                      <a:rPr lang="en-US" baseline="0"/>
                      <a:pPr/>
                      <a:t>[PORCENTAGEM]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5CB-469F-B995-EEC6D3AB3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78AD09-4C31-47F5-ACB9-2BBDE63EAFFA}" type="PERCENTAGE">
                      <a:rPr lang="en-US" baseline="0"/>
                      <a:pPr/>
                      <a:t>[PORCENTAGEM]</a:t>
                    </a:fld>
                    <a:endParaRPr lang="pt-B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D5CB-469F-B995-EEC6D3AB3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baseline="0"/>
                      <a:t> </a:t>
                    </a:r>
                    <a:fld id="{C2DEE9B4-3328-4A73-88C1-AF095205FE8B}" type="PERCENTAGE">
                      <a:rPr lang="en-US" baseline="0"/>
                      <a:pPr/>
                      <a:t>[PORCENTAGEM]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5CB-469F-B995-EEC6D3AB3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</c:v>
                </c:pt>
                <c:pt idx="4">
                  <c:v>Desinvolvimento </c:v>
                </c:pt>
                <c:pt idx="5">
                  <c:v>Hotelarias </c:v>
                </c:pt>
              </c:strCache>
            </c:strRef>
          </c:cat>
          <c:val>
            <c:numRef>
              <c:f>APP!$C$35:$C$40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B-469F-B995-EEC6D3AB38AF}"/>
            </c:ext>
          </c:extLst>
        </c:ser>
        <c:ser>
          <c:idx val="1"/>
          <c:order val="1"/>
          <c:tx>
            <c:strRef>
              <c:f>APP!$D$34</c:f>
              <c:strCache>
                <c:ptCount val="1"/>
                <c:pt idx="0">
                  <c:v>Valores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</c:v>
                </c:pt>
                <c:pt idx="4">
                  <c:v>Desinvolvimento </c:v>
                </c:pt>
                <c:pt idx="5">
                  <c:v>Hotelarias </c:v>
                </c:pt>
              </c:strCache>
            </c:strRef>
          </c:cat>
          <c:val>
            <c:numRef>
              <c:f>APP!$D$35:$D$40</c:f>
              <c:numCache>
                <c:formatCode>"R$"\ #,##0.00</c:formatCode>
                <c:ptCount val="6"/>
                <c:pt idx="0">
                  <c:v>200.64000000000001</c:v>
                </c:pt>
                <c:pt idx="1">
                  <c:v>219.45</c:v>
                </c:pt>
                <c:pt idx="2">
                  <c:v>50.160000000000004</c:v>
                </c:pt>
                <c:pt idx="3">
                  <c:v>31.35</c:v>
                </c:pt>
                <c:pt idx="4">
                  <c:v>62.7</c:v>
                </c:pt>
                <c:pt idx="5">
                  <c:v>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B-469F-B995-EEC6D3AB38A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609349</xdr:colOff>
      <xdr:row>1</xdr:row>
      <xdr:rowOff>91440</xdr:rowOff>
    </xdr:from>
    <xdr:to>
      <xdr:col>3</xdr:col>
      <xdr:colOff>739140</xdr:colOff>
      <xdr:row>9</xdr:row>
      <xdr:rowOff>22860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CB757B2-2E80-4C87-A7AF-646A833E18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5" t="26416" r="185" b="21349"/>
        <a:stretch/>
      </xdr:blipFill>
      <xdr:spPr>
        <a:xfrm>
          <a:off x="609349" y="274320"/>
          <a:ext cx="7117331" cy="1394460"/>
        </a:xfrm>
        <a:prstGeom prst="rect">
          <a:avLst/>
        </a:prstGeom>
      </xdr:spPr>
    </xdr:pic>
    <xdr:clientData/>
  </xdr:twoCellAnchor>
  <xdr:twoCellAnchor>
    <xdr:from>
      <xdr:col>1</xdr:col>
      <xdr:colOff>1013460</xdr:colOff>
      <xdr:row>42</xdr:row>
      <xdr:rowOff>30480</xdr:rowOff>
    </xdr:from>
    <xdr:to>
      <xdr:col>3</xdr:col>
      <xdr:colOff>434340</xdr:colOff>
      <xdr:row>62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66DC79-2479-4A31-97D6-A1634BC2C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EF41-CD65-4B4B-A88E-094BD8841E78}">
  <dimension ref="A10:H41"/>
  <sheetViews>
    <sheetView showGridLines="0" showRowColHeaders="0" tabSelected="1" workbookViewId="0">
      <selection activeCell="E45" sqref="E45"/>
    </sheetView>
  </sheetViews>
  <sheetFormatPr defaultColWidth="0" defaultRowHeight="14.4"/>
  <cols>
    <col min="1" max="1" width="8.88671875" customWidth="1"/>
    <col min="2" max="2" width="70" customWidth="1"/>
    <col min="3" max="3" width="23" customWidth="1"/>
    <col min="4" max="4" width="16.6640625" customWidth="1"/>
    <col min="5" max="5" width="22.21875" bestFit="1" customWidth="1"/>
    <col min="6" max="6" width="11.5546875" hidden="1"/>
    <col min="9" max="16384" width="8.88671875" hidden="1"/>
  </cols>
  <sheetData>
    <row r="10" spans="2:8" ht="15" thickBot="1"/>
    <row r="11" spans="2:8" ht="24" thickBot="1">
      <c r="B11" s="7" t="s">
        <v>13</v>
      </c>
      <c r="C11" s="9"/>
      <c r="D11" s="10"/>
      <c r="H11" s="3"/>
    </row>
    <row r="12" spans="2:8" ht="16.2" thickBot="1">
      <c r="B12" s="22" t="s">
        <v>14</v>
      </c>
      <c r="C12" s="23"/>
      <c r="D12" s="46">
        <v>2092</v>
      </c>
    </row>
    <row r="13" spans="2:8" ht="16.2" thickBot="1">
      <c r="B13" s="22" t="s">
        <v>15</v>
      </c>
      <c r="C13" s="23"/>
      <c r="D13" s="45">
        <v>9.7999999999999997E-3</v>
      </c>
      <c r="E13" s="13"/>
    </row>
    <row r="14" spans="2:8" ht="16.2" thickBot="1">
      <c r="B14" s="24" t="s">
        <v>35</v>
      </c>
      <c r="C14" s="25"/>
      <c r="D14" s="44">
        <f>D12*30%</f>
        <v>627.6</v>
      </c>
    </row>
    <row r="15" spans="2:8" ht="15" thickBot="1">
      <c r="B15" s="3"/>
      <c r="C15" s="8"/>
    </row>
    <row r="16" spans="2:8" ht="33" customHeight="1">
      <c r="B16" s="5" t="s">
        <v>0</v>
      </c>
      <c r="C16" s="6"/>
      <c r="D16" s="11"/>
    </row>
    <row r="17" spans="1:5" ht="15.6">
      <c r="B17" s="17" t="s">
        <v>1</v>
      </c>
      <c r="C17" s="18"/>
      <c r="D17" s="26">
        <v>627</v>
      </c>
      <c r="E17" s="12"/>
    </row>
    <row r="18" spans="1:5" ht="15.6">
      <c r="B18" s="19" t="s">
        <v>2</v>
      </c>
      <c r="C18" s="20"/>
      <c r="D18" s="27">
        <v>5</v>
      </c>
    </row>
    <row r="19" spans="1:5" ht="15.6">
      <c r="B19" s="19" t="s">
        <v>3</v>
      </c>
      <c r="C19" s="21"/>
      <c r="D19" s="28">
        <v>1.0789999999999999E-2</v>
      </c>
    </row>
    <row r="20" spans="1:5" ht="15.6">
      <c r="B20" s="51" t="s">
        <v>4</v>
      </c>
      <c r="C20" s="52"/>
      <c r="D20" s="50">
        <f>FV(D19,D18*12,D17*-1)</f>
        <v>52528.125077051751</v>
      </c>
    </row>
    <row r="21" spans="1:5" ht="16.2" thickBot="1">
      <c r="B21" s="47" t="s">
        <v>5</v>
      </c>
      <c r="C21" s="48"/>
      <c r="D21" s="49">
        <f>D20*$D$13</f>
        <v>514.77562575510717</v>
      </c>
    </row>
    <row r="22" spans="1:5" ht="15" thickBot="1"/>
    <row r="23" spans="1:5" ht="25.8">
      <c r="B23" s="5" t="s">
        <v>11</v>
      </c>
      <c r="C23" s="6"/>
      <c r="D23" s="2" t="s">
        <v>12</v>
      </c>
    </row>
    <row r="24" spans="1:5" ht="16.2" thickBot="1">
      <c r="A24" s="1">
        <v>2</v>
      </c>
      <c r="B24" s="14" t="s">
        <v>6</v>
      </c>
      <c r="C24" s="29">
        <f>FV($D$19,$A24*12,$D$17*-1)</f>
        <v>17071.722315623552</v>
      </c>
      <c r="D24" s="30">
        <f>C24*rendimento_carteira</f>
        <v>167.30287869311081</v>
      </c>
    </row>
    <row r="25" spans="1:5" ht="16.2" thickBot="1">
      <c r="A25" s="1">
        <v>5</v>
      </c>
      <c r="B25" s="15" t="s">
        <v>7</v>
      </c>
      <c r="C25" s="31">
        <f>FV($D$19,$A25*12,$D$17*-1)</f>
        <v>52528.125077051751</v>
      </c>
      <c r="D25" s="32">
        <f>C25*rendimento_carteira</f>
        <v>514.77562575510717</v>
      </c>
    </row>
    <row r="26" spans="1:5" ht="16.2" thickBot="1">
      <c r="A26" s="1">
        <v>10</v>
      </c>
      <c r="B26" s="15" t="s">
        <v>8</v>
      </c>
      <c r="C26" s="31">
        <f>FV($D$19,$A26*12,$D$17*-1)</f>
        <v>152539.20125641796</v>
      </c>
      <c r="D26" s="32">
        <f>C26*rendimento_carteira</f>
        <v>1494.884172312896</v>
      </c>
    </row>
    <row r="27" spans="1:5" ht="16.2" thickBot="1">
      <c r="A27" s="1">
        <v>20</v>
      </c>
      <c r="B27" s="15" t="s">
        <v>9</v>
      </c>
      <c r="C27" s="31">
        <f>FV($D$19,$A27*12,$D$17*-1)</f>
        <v>705499.39686086948</v>
      </c>
      <c r="D27" s="32">
        <f>C27*rendimento_carteira</f>
        <v>6913.8940892365208</v>
      </c>
    </row>
    <row r="28" spans="1:5" ht="16.2" thickBot="1">
      <c r="A28" s="1">
        <v>30</v>
      </c>
      <c r="B28" s="16" t="s">
        <v>10</v>
      </c>
      <c r="C28" s="33">
        <f>FV($D$19,$A28*12,$D$17*-1)</f>
        <v>2710000.373687956</v>
      </c>
      <c r="D28" s="34">
        <f>C28*rendimento_carteira</f>
        <v>26558.003662141968</v>
      </c>
    </row>
    <row r="30" spans="1:5" ht="15" thickBot="1"/>
    <row r="31" spans="1:5">
      <c r="B31" s="56" t="s">
        <v>21</v>
      </c>
      <c r="C31" s="57" t="s">
        <v>19</v>
      </c>
      <c r="D31" s="58"/>
      <c r="E31" s="8"/>
    </row>
    <row r="32" spans="1:5" ht="15" thickBot="1">
      <c r="B32" s="59" t="s">
        <v>20</v>
      </c>
      <c r="C32" s="60">
        <f>Aporte</f>
        <v>627</v>
      </c>
      <c r="D32" s="61"/>
      <c r="E32" s="8"/>
    </row>
    <row r="33" spans="1:5" ht="15" thickBot="1">
      <c r="B33" s="8"/>
      <c r="C33" s="8"/>
    </row>
    <row r="34" spans="1:5">
      <c r="A34" s="8"/>
      <c r="B34" s="62" t="s">
        <v>22</v>
      </c>
      <c r="C34" s="63" t="s">
        <v>23</v>
      </c>
      <c r="D34" s="64" t="s">
        <v>24</v>
      </c>
      <c r="E34" s="8"/>
    </row>
    <row r="35" spans="1:5">
      <c r="A35" s="8"/>
      <c r="B35" s="65" t="s">
        <v>25</v>
      </c>
      <c r="C35" s="53">
        <f>VLOOKUP($C$31&amp;"-"&amp;B35,Planilha2!$A:$D,4,)</f>
        <v>0.32</v>
      </c>
      <c r="D35" s="66">
        <f>C35*$C$32</f>
        <v>200.64000000000001</v>
      </c>
    </row>
    <row r="36" spans="1:5">
      <c r="A36" s="8"/>
      <c r="B36" s="67" t="s">
        <v>26</v>
      </c>
      <c r="C36" s="54">
        <f>VLOOKUP($C$31&amp;"-"&amp;B36,Planilha2!$A:$D,4,)</f>
        <v>0.35</v>
      </c>
      <c r="D36" s="66">
        <f t="shared" ref="D36:D40" si="0">C36*$C$32</f>
        <v>219.45</v>
      </c>
    </row>
    <row r="37" spans="1:5">
      <c r="A37" s="8"/>
      <c r="B37" s="68" t="s">
        <v>27</v>
      </c>
      <c r="C37" s="54">
        <f>VLOOKUP($C$31&amp;"-"&amp;B37,Planilha2!$A:$D,4,)</f>
        <v>0.08</v>
      </c>
      <c r="D37" s="66">
        <f t="shared" si="0"/>
        <v>50.160000000000004</v>
      </c>
    </row>
    <row r="38" spans="1:5">
      <c r="A38" s="8"/>
      <c r="B38" s="68" t="s">
        <v>28</v>
      </c>
      <c r="C38" s="54">
        <f>VLOOKUP($C$31&amp;"-"&amp;B38,Planilha2!$A:$D,4,)</f>
        <v>0.05</v>
      </c>
      <c r="D38" s="69">
        <f t="shared" si="0"/>
        <v>31.35</v>
      </c>
    </row>
    <row r="39" spans="1:5">
      <c r="A39" s="8"/>
      <c r="B39" s="67" t="s">
        <v>29</v>
      </c>
      <c r="C39" s="54">
        <f>VLOOKUP($C$31&amp;"-"&amp;B39,Planilha2!$A:$D,4,)</f>
        <v>0.1</v>
      </c>
      <c r="D39" s="66">
        <f t="shared" si="0"/>
        <v>62.7</v>
      </c>
    </row>
    <row r="40" spans="1:5">
      <c r="A40" s="8"/>
      <c r="B40" s="70" t="s">
        <v>30</v>
      </c>
      <c r="C40" s="55">
        <f>VLOOKUP($C$31&amp;"-"&amp;B40,Planilha2!$A:$D,4,)</f>
        <v>0.1</v>
      </c>
      <c r="D40" s="66">
        <f t="shared" si="0"/>
        <v>62.7</v>
      </c>
    </row>
    <row r="41" spans="1:5" ht="15" thickBot="1">
      <c r="A41" s="8"/>
      <c r="B41" s="71"/>
      <c r="C41" s="72"/>
      <c r="D41" s="73">
        <f>SUM(D35:D40)</f>
        <v>627.00000000000011</v>
      </c>
    </row>
  </sheetData>
  <mergeCells count="11">
    <mergeCell ref="B12:C12"/>
    <mergeCell ref="B13:C13"/>
    <mergeCell ref="B14:C14"/>
    <mergeCell ref="B11:D11"/>
    <mergeCell ref="B23:C23"/>
    <mergeCell ref="B17:C17"/>
    <mergeCell ref="B18:C18"/>
    <mergeCell ref="B19:C19"/>
    <mergeCell ref="B20:C20"/>
    <mergeCell ref="B21:C21"/>
    <mergeCell ref="B16:D16"/>
  </mergeCells>
  <dataValidations count="1">
    <dataValidation type="list" allowBlank="1" showInputMessage="1" showErrorMessage="1" sqref="C31" xr:uid="{49BA8B07-1B1F-47DE-A3DB-B57E03734785}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5A9B-60E6-4BB2-8EAA-7C982BBF0244}">
  <dimension ref="A2:H20"/>
  <sheetViews>
    <sheetView workbookViewId="0">
      <selection activeCell="G18" sqref="G18"/>
    </sheetView>
  </sheetViews>
  <sheetFormatPr defaultRowHeight="14.4"/>
  <cols>
    <col min="1" max="1" width="28.77734375" bestFit="1" customWidth="1"/>
    <col min="2" max="2" width="15.21875" customWidth="1"/>
    <col min="3" max="3" width="15.77734375" customWidth="1"/>
    <col min="4" max="4" width="11.21875" customWidth="1"/>
    <col min="7" max="7" width="16.77734375" customWidth="1"/>
    <col min="8" max="8" width="14.109375" customWidth="1"/>
  </cols>
  <sheetData>
    <row r="2" spans="1:8">
      <c r="A2" s="43" t="s">
        <v>33</v>
      </c>
      <c r="B2" s="43" t="s">
        <v>16</v>
      </c>
      <c r="C2" s="43" t="s">
        <v>31</v>
      </c>
      <c r="D2" s="36" t="s">
        <v>32</v>
      </c>
    </row>
    <row r="3" spans="1:8">
      <c r="A3" t="str">
        <f>B3&amp;"-"&amp;C3</f>
        <v>CONSERVADOR-Papel</v>
      </c>
      <c r="B3" t="s">
        <v>18</v>
      </c>
      <c r="C3" s="4" t="s">
        <v>25</v>
      </c>
      <c r="D3" s="37">
        <v>0.3</v>
      </c>
    </row>
    <row r="4" spans="1:8">
      <c r="A4" t="str">
        <f t="shared" ref="A4:A20" si="0">B4&amp;"-"&amp;C4</f>
        <v>CONSERVADOR-Tijolo</v>
      </c>
      <c r="B4" t="s">
        <v>18</v>
      </c>
      <c r="C4" s="4" t="s">
        <v>26</v>
      </c>
      <c r="D4" s="37">
        <v>0.5</v>
      </c>
      <c r="H4" t="s">
        <v>32</v>
      </c>
    </row>
    <row r="5" spans="1:8">
      <c r="A5" t="str">
        <f t="shared" si="0"/>
        <v>CONSERVADOR-Hibridos</v>
      </c>
      <c r="B5" t="s">
        <v>18</v>
      </c>
      <c r="C5" s="4" t="s">
        <v>27</v>
      </c>
      <c r="D5" s="37">
        <v>0.1</v>
      </c>
      <c r="G5" s="35" t="s">
        <v>34</v>
      </c>
      <c r="H5" s="35">
        <f>VLOOKUP(G5,$A:$D,4,)</f>
        <v>0.35</v>
      </c>
    </row>
    <row r="6" spans="1:8">
      <c r="A6" t="str">
        <f t="shared" si="0"/>
        <v>CONSERVADOR-FOF</v>
      </c>
      <c r="B6" t="s">
        <v>18</v>
      </c>
      <c r="C6" s="4" t="s">
        <v>28</v>
      </c>
      <c r="D6" s="37">
        <v>0.1</v>
      </c>
    </row>
    <row r="7" spans="1:8">
      <c r="A7" s="8" t="str">
        <f t="shared" si="0"/>
        <v xml:space="preserve">CONSERVADOR-Desinvolvimento </v>
      </c>
      <c r="B7" s="8" t="s">
        <v>18</v>
      </c>
      <c r="C7" s="41" t="s">
        <v>29</v>
      </c>
      <c r="D7" s="42">
        <v>0</v>
      </c>
    </row>
    <row r="8" spans="1:8" ht="15" thickBot="1">
      <c r="A8" s="38" t="str">
        <f t="shared" si="0"/>
        <v xml:space="preserve">CONSERVADOR-Hotelarias </v>
      </c>
      <c r="B8" s="38" t="s">
        <v>18</v>
      </c>
      <c r="C8" s="39" t="s">
        <v>30</v>
      </c>
      <c r="D8" s="40">
        <v>0</v>
      </c>
    </row>
    <row r="9" spans="1:8">
      <c r="A9" s="8" t="str">
        <f t="shared" si="0"/>
        <v>MODERADO-Papel</v>
      </c>
      <c r="B9" t="s">
        <v>19</v>
      </c>
      <c r="C9" s="4" t="s">
        <v>25</v>
      </c>
      <c r="D9" s="37">
        <v>0.32</v>
      </c>
    </row>
    <row r="10" spans="1:8">
      <c r="A10" s="8" t="str">
        <f t="shared" si="0"/>
        <v>MODERADO-Tijolo</v>
      </c>
      <c r="B10" t="s">
        <v>19</v>
      </c>
      <c r="C10" s="4" t="s">
        <v>26</v>
      </c>
      <c r="D10" s="37">
        <v>0.35</v>
      </c>
    </row>
    <row r="11" spans="1:8">
      <c r="A11" s="8" t="str">
        <f t="shared" si="0"/>
        <v>MODERADO-Hibridos</v>
      </c>
      <c r="B11" t="s">
        <v>19</v>
      </c>
      <c r="C11" s="4" t="s">
        <v>27</v>
      </c>
      <c r="D11" s="37">
        <v>0.08</v>
      </c>
    </row>
    <row r="12" spans="1:8">
      <c r="A12" s="8" t="str">
        <f t="shared" si="0"/>
        <v>MODERADO-FOF</v>
      </c>
      <c r="B12" s="8" t="s">
        <v>19</v>
      </c>
      <c r="C12" s="41" t="s">
        <v>28</v>
      </c>
      <c r="D12" s="42">
        <v>0.05</v>
      </c>
    </row>
    <row r="13" spans="1:8">
      <c r="A13" s="8" t="str">
        <f t="shared" si="0"/>
        <v xml:space="preserve">MODERADO-Desinvolvimento </v>
      </c>
      <c r="B13" s="8" t="s">
        <v>19</v>
      </c>
      <c r="C13" s="41" t="s">
        <v>29</v>
      </c>
      <c r="D13" s="42">
        <v>0.1</v>
      </c>
    </row>
    <row r="14" spans="1:8" ht="15" thickBot="1">
      <c r="A14" s="38" t="str">
        <f t="shared" si="0"/>
        <v xml:space="preserve">MODERADO-Hotelarias </v>
      </c>
      <c r="B14" s="38" t="s">
        <v>19</v>
      </c>
      <c r="C14" s="39" t="s">
        <v>30</v>
      </c>
      <c r="D14" s="40">
        <v>0.1</v>
      </c>
      <c r="E14" s="8"/>
    </row>
    <row r="15" spans="1:8">
      <c r="A15" s="8" t="str">
        <f t="shared" si="0"/>
        <v>AGRESSIVO-Papel</v>
      </c>
      <c r="B15" t="s">
        <v>17</v>
      </c>
      <c r="C15" s="4" t="s">
        <v>25</v>
      </c>
      <c r="D15" s="37">
        <v>0.5</v>
      </c>
    </row>
    <row r="16" spans="1:8">
      <c r="A16" s="8" t="str">
        <f t="shared" si="0"/>
        <v>AGRESSIVO-Tijolo</v>
      </c>
      <c r="B16" t="s">
        <v>17</v>
      </c>
      <c r="C16" s="4" t="s">
        <v>26</v>
      </c>
      <c r="D16" s="37">
        <v>0.1</v>
      </c>
    </row>
    <row r="17" spans="1:4">
      <c r="A17" s="8" t="str">
        <f t="shared" si="0"/>
        <v>AGRESSIVO-Hibridos</v>
      </c>
      <c r="B17" t="s">
        <v>17</v>
      </c>
      <c r="C17" s="4" t="s">
        <v>27</v>
      </c>
      <c r="D17" s="37">
        <v>0.05</v>
      </c>
    </row>
    <row r="18" spans="1:4">
      <c r="A18" s="8" t="str">
        <f t="shared" si="0"/>
        <v>AGRESSIVO-FOF</v>
      </c>
      <c r="B18" t="s">
        <v>17</v>
      </c>
      <c r="C18" s="4" t="s">
        <v>28</v>
      </c>
      <c r="D18" s="37">
        <v>0.05</v>
      </c>
    </row>
    <row r="19" spans="1:4">
      <c r="A19" s="8" t="str">
        <f t="shared" si="0"/>
        <v xml:space="preserve">AGRESSIVO-Desinvolvimento </v>
      </c>
      <c r="B19" t="s">
        <v>17</v>
      </c>
      <c r="C19" s="4" t="s">
        <v>29</v>
      </c>
      <c r="D19" s="37">
        <v>0.2</v>
      </c>
    </row>
    <row r="20" spans="1:4">
      <c r="A20" s="8" t="str">
        <f t="shared" si="0"/>
        <v xml:space="preserve">AGRESSIVO-Hotelarias </v>
      </c>
      <c r="B20" t="s">
        <v>17</v>
      </c>
      <c r="C20" s="4" t="s">
        <v>30</v>
      </c>
      <c r="D20" s="3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Planilha2</vt:lpstr>
      <vt:lpstr>Aporte</vt:lpstr>
      <vt:lpstr>dividendo_mensais</vt:lpstr>
      <vt:lpstr>patrimonio_acumulado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Microsoft</cp:lastModifiedBy>
  <dcterms:created xsi:type="dcterms:W3CDTF">2025-12-22T18:46:20Z</dcterms:created>
  <dcterms:modified xsi:type="dcterms:W3CDTF">2025-12-29T14:23:25Z</dcterms:modified>
</cp:coreProperties>
</file>